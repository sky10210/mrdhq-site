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E Start-up" sheetId="1" r:id="rId4"/>
    <sheet state="visible" name="BSE Q1" sheetId="2" r:id="rId5"/>
  </sheets>
  <definedNames/>
  <calcPr/>
  <extLst>
    <ext uri="GoogleSheetsCustomDataVersion2">
      <go:sheetsCustomData xmlns:go="http://customooxmlschemas.google.com/" r:id="rId6" roundtripDataChecksum="tHlVVNNsYRbK/xRzw3kYr1QobWnoGaF1BxvB0i8XK2U="/>
    </ext>
  </extLst>
</workbook>
</file>

<file path=xl/sharedStrings.xml><?xml version="1.0" encoding="utf-8"?>
<sst xmlns="http://schemas.openxmlformats.org/spreadsheetml/2006/main" count="103" uniqueCount="73">
  <si>
    <t>Denessa's Café</t>
  </si>
  <si>
    <t>Start-up Transactions</t>
  </si>
  <si>
    <t>Assets</t>
  </si>
  <si>
    <t>Liabilities</t>
  </si>
  <si>
    <t>Owners' Equity</t>
  </si>
  <si>
    <t>Transaction</t>
  </si>
  <si>
    <t>Cash</t>
  </si>
  <si>
    <t>Inventory</t>
  </si>
  <si>
    <t>Fixed Assets</t>
  </si>
  <si>
    <t>A/P</t>
  </si>
  <si>
    <t>Credit Card</t>
  </si>
  <si>
    <t>Contributed Capital</t>
  </si>
  <si>
    <t>Retained Earnings</t>
  </si>
  <si>
    <t>Balance Check</t>
  </si>
  <si>
    <t xml:space="preserve">Beg Balances </t>
  </si>
  <si>
    <t>1.  Denessa's Savings</t>
  </si>
  <si>
    <t>2.  Family Investment</t>
  </si>
  <si>
    <t>3.  Community Grant</t>
  </si>
  <si>
    <t>Revenue</t>
  </si>
  <si>
    <t>4.  Purchase Fixed Assets</t>
  </si>
  <si>
    <t>5. Start-up Expenses</t>
  </si>
  <si>
    <t>Expenses</t>
  </si>
  <si>
    <t>6.  Inventory Purchase</t>
  </si>
  <si>
    <t xml:space="preserve">Ending Balances </t>
  </si>
  <si>
    <t>Total Assets =</t>
  </si>
  <si>
    <t>Total Liab. + Equity =</t>
  </si>
  <si>
    <t>Quarter 1 Transactions</t>
  </si>
  <si>
    <t>CHECK</t>
  </si>
  <si>
    <t>1.  Occupancy Expenses</t>
  </si>
  <si>
    <t>2.  Purchase of Food/Beverages</t>
  </si>
  <si>
    <t>3.  Revenue</t>
  </si>
  <si>
    <t>4.  Cost of Good Sold</t>
  </si>
  <si>
    <t>COGS</t>
  </si>
  <si>
    <t>5. Pay Accounts Payable</t>
  </si>
  <si>
    <t>6. Marketing/Administrative Expense</t>
  </si>
  <si>
    <t>7.  Wages</t>
  </si>
  <si>
    <t>Espenses</t>
  </si>
  <si>
    <t>8. Credit Card Interest Expense</t>
  </si>
  <si>
    <t>Interest expense</t>
  </si>
  <si>
    <t>Income Statement</t>
  </si>
  <si>
    <t>Q1</t>
  </si>
  <si>
    <t>Cost of Goods Sold</t>
  </si>
  <si>
    <t>Gross Profit</t>
  </si>
  <si>
    <t>Occupancy Expenses</t>
  </si>
  <si>
    <t>Marketing/Admin. Expense</t>
  </si>
  <si>
    <t>Wages</t>
  </si>
  <si>
    <t>Total Operating Expenses</t>
  </si>
  <si>
    <t>Operating Profit</t>
  </si>
  <si>
    <t>Interest Expense</t>
  </si>
  <si>
    <t>Pre-tax Profit</t>
  </si>
  <si>
    <t>Balance Sheet</t>
  </si>
  <si>
    <t>Current Assets</t>
  </si>
  <si>
    <t>Total Assets</t>
  </si>
  <si>
    <t>Accounts Payable</t>
  </si>
  <si>
    <t>Current Liabilities</t>
  </si>
  <si>
    <t>Owners Equity</t>
  </si>
  <si>
    <t>Total Owners Equity</t>
  </si>
  <si>
    <t>Total Liabilities &amp; Equity</t>
  </si>
  <si>
    <t>Cash Flow Statement</t>
  </si>
  <si>
    <t>Operating Cash Flow</t>
  </si>
  <si>
    <t>Payments from Customers</t>
  </si>
  <si>
    <t>Paid for Occupancy</t>
  </si>
  <si>
    <t>Paid for Food/Beverages</t>
  </si>
  <si>
    <t>Pay Accounts Payable</t>
  </si>
  <si>
    <t>Paid for Wages</t>
  </si>
  <si>
    <t>Paid for Marketing/Admin.</t>
  </si>
  <si>
    <t>Paid for Interest</t>
  </si>
  <si>
    <t>TOTAL OPERATING CF</t>
  </si>
  <si>
    <t>Investing Cash Flow</t>
  </si>
  <si>
    <t>Financing Cash Flow</t>
  </si>
  <si>
    <t>NET CASH FLOW</t>
  </si>
  <si>
    <t>Beginning Cash</t>
  </si>
  <si>
    <t>Ending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</si>
</sst>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&quot;_);_(@_)"/>
    <numFmt numFmtId="165" formatCode="&quot;$&quot;#,##0_);[Red]\(&quot;$&quot;#,##0\)"/>
    <numFmt numFmtId="166" formatCode="&quot;$&quot;#,##0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Arial"/>
    </font>
    <font>
      <b/>
      <color theme="1"/>
      <name val="Calibri"/>
    </font>
    <font>
      <color theme="1"/>
      <name val="Calibri"/>
    </font>
    <font>
      <sz val="11.0"/>
      <color rgb="FFFF0000"/>
      <name val="Calibri"/>
    </font>
    <font>
      <b/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99"/>
        <bgColor rgb="FFFFFF99"/>
      </patternFill>
    </fill>
    <fill>
      <patternFill patternType="solid">
        <fgColor rgb="FFECECEC"/>
        <bgColor rgb="FFECECEC"/>
      </patternFill>
    </fill>
    <fill>
      <patternFill patternType="solid">
        <fgColor rgb="FFFFD965"/>
        <bgColor rgb="FFFFD965"/>
      </patternFill>
    </fill>
  </fills>
  <borders count="3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70C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70C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ck">
        <color rgb="FF0070C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ck">
        <color rgb="FF0070C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thick">
        <color rgb="FF0070C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vertical="bottom"/>
    </xf>
    <xf borderId="5" fillId="0" fontId="3" numFmtId="0" xfId="0" applyBorder="1" applyFont="1"/>
    <xf borderId="4" fillId="0" fontId="1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bottom"/>
    </xf>
    <xf borderId="7" fillId="0" fontId="3" numFmtId="0" xfId="0" applyBorder="1" applyFont="1"/>
    <xf borderId="7" fillId="0" fontId="4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bottom"/>
    </xf>
    <xf borderId="8" fillId="0" fontId="3" numFmtId="0" xfId="0" applyBorder="1" applyFont="1"/>
    <xf borderId="9" fillId="0" fontId="2" numFmtId="0" xfId="0" applyBorder="1" applyFont="1"/>
    <xf borderId="10" fillId="0" fontId="5" numFmtId="164" xfId="0" applyAlignment="1" applyBorder="1" applyFont="1" applyNumberFormat="1">
      <alignment horizontal="center" shrinkToFit="0" vertical="bottom" wrapText="1"/>
    </xf>
    <xf borderId="11" fillId="0" fontId="5" numFmtId="164" xfId="0" applyAlignment="1" applyBorder="1" applyFont="1" applyNumberFormat="1">
      <alignment horizontal="center" shrinkToFit="0" vertical="bottom" wrapText="1"/>
    </xf>
    <xf borderId="12" fillId="0" fontId="5" numFmtId="164" xfId="0" applyAlignment="1" applyBorder="1" applyFont="1" applyNumberFormat="1">
      <alignment horizontal="center" shrinkToFit="0" vertical="bottom" wrapText="1"/>
    </xf>
    <xf borderId="13" fillId="0" fontId="5" numFmtId="164" xfId="0" applyAlignment="1" applyBorder="1" applyFont="1" applyNumberFormat="1">
      <alignment horizontal="center" shrinkToFit="0" vertical="bottom" wrapText="1"/>
    </xf>
    <xf borderId="0" fillId="0" fontId="5" numFmtId="164" xfId="0" applyAlignment="1" applyFont="1" applyNumberFormat="1">
      <alignment horizontal="center" shrinkToFit="0" vertical="bottom" wrapText="1"/>
    </xf>
    <xf borderId="14" fillId="0" fontId="2" numFmtId="0" xfId="0" applyAlignment="1" applyBorder="1" applyFont="1">
      <alignment horizontal="right" vertical="bottom"/>
    </xf>
    <xf borderId="15" fillId="2" fontId="1" numFmtId="165" xfId="0" applyAlignment="1" applyBorder="1" applyFill="1" applyFont="1" applyNumberFormat="1">
      <alignment vertical="bottom"/>
    </xf>
    <xf borderId="11" fillId="2" fontId="1" numFmtId="165" xfId="0" applyAlignment="1" applyBorder="1" applyFont="1" applyNumberFormat="1">
      <alignment vertical="bottom"/>
    </xf>
    <xf borderId="16" fillId="2" fontId="1" numFmtId="165" xfId="0" applyAlignment="1" applyBorder="1" applyFont="1" applyNumberFormat="1">
      <alignment vertical="bottom"/>
    </xf>
    <xf borderId="17" fillId="2" fontId="1" numFmtId="165" xfId="0" applyAlignment="1" applyBorder="1" applyFont="1" applyNumberFormat="1">
      <alignment vertical="bottom"/>
    </xf>
    <xf borderId="18" fillId="3" fontId="6" numFmtId="164" xfId="0" applyAlignment="1" applyBorder="1" applyFill="1" applyFont="1" applyNumberFormat="1">
      <alignment vertical="bottom"/>
    </xf>
    <xf borderId="19" fillId="4" fontId="1" numFmtId="165" xfId="0" applyAlignment="1" applyBorder="1" applyFill="1" applyFont="1" applyNumberFormat="1">
      <alignment vertical="bottom"/>
    </xf>
    <xf borderId="10" fillId="0" fontId="1" numFmtId="165" xfId="0" applyAlignment="1" applyBorder="1" applyFont="1" applyNumberFormat="1">
      <alignment vertical="bottom"/>
    </xf>
    <xf borderId="20" fillId="0" fontId="1" numFmtId="165" xfId="0" applyAlignment="1" applyBorder="1" applyFont="1" applyNumberFormat="1">
      <alignment vertical="bottom"/>
    </xf>
    <xf borderId="12" fillId="0" fontId="1" numFmtId="165" xfId="0" applyAlignment="1" applyBorder="1" applyFont="1" applyNumberFormat="1">
      <alignment vertical="bottom"/>
    </xf>
    <xf borderId="21" fillId="3" fontId="1" numFmtId="165" xfId="0" applyAlignment="1" applyBorder="1" applyFont="1" applyNumberFormat="1">
      <alignment vertical="bottom"/>
    </xf>
    <xf borderId="0" fillId="0" fontId="1" numFmtId="0" xfId="0" applyAlignment="1" applyFont="1">
      <alignment horizontal="center" vertical="bottom"/>
    </xf>
    <xf borderId="15" fillId="4" fontId="1" numFmtId="165" xfId="0" applyAlignment="1" applyBorder="1" applyFont="1" applyNumberFormat="1">
      <alignment vertical="bottom"/>
    </xf>
    <xf borderId="15" fillId="0" fontId="1" numFmtId="165" xfId="0" applyAlignment="1" applyBorder="1" applyFont="1" applyNumberFormat="1">
      <alignment vertical="bottom"/>
    </xf>
    <xf borderId="22" fillId="0" fontId="1" numFmtId="165" xfId="0" applyAlignment="1" applyBorder="1" applyFont="1" applyNumberFormat="1">
      <alignment vertical="bottom"/>
    </xf>
    <xf borderId="17" fillId="3" fontId="1" numFmtId="165" xfId="0" applyAlignment="1" applyBorder="1" applyFont="1" applyNumberFormat="1">
      <alignment vertical="bottom"/>
    </xf>
    <xf borderId="11" fillId="0" fontId="1" numFmtId="165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18" fillId="0" fontId="2" numFmtId="0" xfId="0" applyAlignment="1" applyBorder="1" applyFont="1">
      <alignment horizontal="right" vertical="bottom"/>
    </xf>
    <xf borderId="23" fillId="2" fontId="1" numFmtId="165" xfId="0" applyAlignment="1" applyBorder="1" applyFont="1" applyNumberFormat="1">
      <alignment horizontal="center" vertical="bottom"/>
    </xf>
    <xf borderId="24" fillId="2" fontId="1" numFmtId="165" xfId="0" applyAlignment="1" applyBorder="1" applyFont="1" applyNumberFormat="1">
      <alignment horizontal="center" vertical="bottom"/>
    </xf>
    <xf borderId="25" fillId="2" fontId="1" numFmtId="165" xfId="0" applyAlignment="1" applyBorder="1" applyFont="1" applyNumberFormat="1">
      <alignment horizontal="center" vertical="bottom"/>
    </xf>
    <xf borderId="26" fillId="2" fontId="7" numFmtId="165" xfId="0" applyAlignment="1" applyBorder="1" applyFont="1" applyNumberFormat="1">
      <alignment horizontal="center" vertical="bottom"/>
    </xf>
    <xf borderId="27" fillId="0" fontId="1" numFmtId="0" xfId="0" applyAlignment="1" applyBorder="1" applyFont="1">
      <alignment vertical="bottom"/>
    </xf>
    <xf borderId="28" fillId="0" fontId="1" numFmtId="0" xfId="0" applyAlignment="1" applyBorder="1" applyFont="1">
      <alignment vertical="bottom"/>
    </xf>
    <xf borderId="28" fillId="0" fontId="8" numFmtId="0" xfId="0" applyAlignment="1" applyBorder="1" applyFont="1">
      <alignment horizontal="center"/>
    </xf>
    <xf borderId="29" fillId="5" fontId="1" numFmtId="166" xfId="0" applyAlignment="1" applyBorder="1" applyFill="1" applyFont="1" applyNumberFormat="1">
      <alignment horizontal="right"/>
    </xf>
    <xf borderId="30" fillId="0" fontId="8" numFmtId="0" xfId="0" applyAlignment="1" applyBorder="1" applyFont="1">
      <alignment horizontal="center" shrinkToFit="0" wrapText="1"/>
    </xf>
    <xf borderId="31" fillId="0" fontId="1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22" fillId="0" fontId="3" numFmtId="0" xfId="0" applyBorder="1" applyFont="1"/>
    <xf borderId="32" fillId="0" fontId="2" numFmtId="0" xfId="0" applyBorder="1" applyFont="1"/>
    <xf borderId="6" fillId="0" fontId="2" numFmtId="0" xfId="0" applyAlignment="1" applyBorder="1" applyFont="1">
      <alignment horizontal="right" vertical="bottom"/>
    </xf>
    <xf borderId="15" fillId="2" fontId="1" numFmtId="165" xfId="0" applyAlignment="1" applyBorder="1" applyFont="1" applyNumberFormat="1">
      <alignment horizontal="center" vertical="bottom"/>
    </xf>
    <xf borderId="15" fillId="3" fontId="6" numFmtId="164" xfId="0" applyAlignment="1" applyBorder="1" applyFont="1" applyNumberFormat="1">
      <alignment vertical="bottom"/>
    </xf>
    <xf borderId="19" fillId="3" fontId="1" numFmtId="165" xfId="0" applyAlignment="1" applyBorder="1" applyFont="1" applyNumberFormat="1">
      <alignment vertical="bottom"/>
    </xf>
    <xf borderId="15" fillId="3" fontId="1" numFmtId="165" xfId="0" applyAlignment="1" applyBorder="1" applyFont="1" applyNumberFormat="1">
      <alignment vertical="bottom"/>
    </xf>
    <xf borderId="15" fillId="0" fontId="2" numFmtId="0" xfId="0" applyAlignment="1" applyBorder="1" applyFont="1">
      <alignment horizontal="right" vertical="bottom"/>
    </xf>
    <xf borderId="0" fillId="0" fontId="8" numFmtId="0" xfId="0" applyAlignment="1" applyFont="1">
      <alignment horizontal="center"/>
    </xf>
    <xf borderId="33" fillId="5" fontId="1" numFmtId="166" xfId="0" applyAlignment="1" applyBorder="1" applyFont="1" applyNumberFormat="1">
      <alignment horizontal="right"/>
    </xf>
    <xf borderId="34" fillId="0" fontId="8" numFmtId="0" xfId="0" applyAlignment="1" applyBorder="1" applyFont="1">
      <alignment horizontal="center" shrinkToFit="0" wrapText="1"/>
    </xf>
    <xf borderId="35" fillId="0" fontId="2" numFmtId="0" xfId="0" applyAlignment="1" applyBorder="1" applyFont="1">
      <alignment vertical="bottom"/>
    </xf>
    <xf borderId="36" fillId="0" fontId="2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vertical="bottom"/>
    </xf>
    <xf borderId="31" fillId="0" fontId="1" numFmtId="165" xfId="0" applyAlignment="1" applyBorder="1" applyFont="1" applyNumberFormat="1">
      <alignment vertical="bottom"/>
    </xf>
    <xf borderId="5" fillId="0" fontId="1" numFmtId="165" xfId="0" applyAlignment="1" applyBorder="1" applyFont="1" applyNumberFormat="1">
      <alignment horizontal="right" vertical="bottom"/>
    </xf>
    <xf borderId="31" fillId="0" fontId="7" numFmtId="165" xfId="0" applyAlignment="1" applyBorder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31" fillId="0" fontId="1" numFmtId="165" xfId="0" applyAlignment="1" applyBorder="1" applyFont="1" applyNumberFormat="1">
      <alignment horizontal="right" vertical="bottom"/>
    </xf>
    <xf borderId="35" fillId="0" fontId="1" numFmtId="0" xfId="0" applyAlignment="1" applyBorder="1" applyFont="1">
      <alignment vertical="bottom"/>
    </xf>
    <xf borderId="36" fillId="0" fontId="1" numFmtId="165" xfId="0" applyAlignment="1" applyBorder="1" applyFont="1" applyNumberFormat="1">
      <alignment vertical="bottom"/>
    </xf>
    <xf borderId="36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7" fillId="0" fontId="1" numFmtId="0" xfId="0" applyAlignment="1" applyBorder="1" applyFont="1">
      <alignment vertical="bottom"/>
    </xf>
    <xf borderId="38" fillId="0" fontId="1" numFmtId="165" xfId="0" applyAlignment="1" applyBorder="1" applyFont="1" applyNumberFormat="1">
      <alignment horizontal="right" vertical="bottom"/>
    </xf>
    <xf borderId="36" fillId="0" fontId="7" numFmtId="165" xfId="0" applyAlignment="1" applyBorder="1" applyFont="1" applyNumberFormat="1">
      <alignment horizontal="right" vertical="bottom"/>
    </xf>
    <xf borderId="27" fillId="0" fontId="2" numFmtId="0" xfId="0" applyAlignment="1" applyBorder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3" width="8.71"/>
    <col customWidth="1" min="4" max="4" width="10.14"/>
    <col customWidth="1" min="5" max="7" width="8.71"/>
    <col customWidth="1" min="8" max="8" width="11.29"/>
    <col customWidth="1" min="9" max="11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</row>
    <row r="3" ht="14.25" customHeight="1">
      <c r="A3" s="1"/>
      <c r="B3" s="5" t="s">
        <v>1</v>
      </c>
      <c r="I3" s="6"/>
      <c r="J3" s="1"/>
      <c r="K3" s="1"/>
    </row>
    <row r="4" ht="14.25" customHeight="1">
      <c r="A4" s="1"/>
      <c r="B4" s="7"/>
      <c r="C4" s="8" t="s">
        <v>2</v>
      </c>
      <c r="D4" s="9"/>
      <c r="E4" s="9"/>
      <c r="F4" s="10" t="s">
        <v>3</v>
      </c>
      <c r="G4" s="9"/>
      <c r="H4" s="11" t="s">
        <v>4</v>
      </c>
      <c r="I4" s="12"/>
      <c r="J4" s="1"/>
      <c r="K4" s="1"/>
    </row>
    <row r="5" ht="44.25" customHeight="1">
      <c r="A5" s="1"/>
      <c r="B5" s="13" t="s">
        <v>5</v>
      </c>
      <c r="C5" s="14" t="s">
        <v>6</v>
      </c>
      <c r="D5" s="14" t="s">
        <v>7</v>
      </c>
      <c r="E5" s="14" t="s">
        <v>8</v>
      </c>
      <c r="F5" s="15" t="s">
        <v>9</v>
      </c>
      <c r="G5" s="14" t="s">
        <v>10</v>
      </c>
      <c r="H5" s="16" t="s">
        <v>11</v>
      </c>
      <c r="I5" s="17" t="s">
        <v>12</v>
      </c>
      <c r="J5" s="18" t="s">
        <v>13</v>
      </c>
      <c r="K5" s="1"/>
    </row>
    <row r="6" ht="14.25" customHeight="1">
      <c r="A6" s="1"/>
      <c r="B6" s="19" t="s">
        <v>14</v>
      </c>
      <c r="C6" s="20"/>
      <c r="D6" s="20"/>
      <c r="E6" s="20"/>
      <c r="F6" s="21"/>
      <c r="G6" s="20"/>
      <c r="H6" s="22"/>
      <c r="I6" s="23"/>
      <c r="J6" s="1"/>
      <c r="K6" s="1"/>
    </row>
    <row r="7" ht="21.75" customHeight="1">
      <c r="A7" s="1"/>
      <c r="B7" s="24" t="s">
        <v>15</v>
      </c>
      <c r="C7" s="25"/>
      <c r="D7" s="26"/>
      <c r="E7" s="26"/>
      <c r="F7" s="27"/>
      <c r="G7" s="26"/>
      <c r="H7" s="28"/>
      <c r="I7" s="29"/>
      <c r="J7" s="30" t="str">
        <f t="shared" ref="J7:J13" si="1">IF(SUM(C7:E7)=SUM(F7:I7), "OK","ERROR")</f>
        <v>OK</v>
      </c>
      <c r="K7" s="1"/>
    </row>
    <row r="8" ht="21.75" customHeight="1">
      <c r="A8" s="1"/>
      <c r="B8" s="24" t="s">
        <v>16</v>
      </c>
      <c r="C8" s="31"/>
      <c r="D8" s="32"/>
      <c r="E8" s="32"/>
      <c r="F8" s="27"/>
      <c r="G8" s="32"/>
      <c r="H8" s="33"/>
      <c r="I8" s="34"/>
      <c r="J8" s="30" t="str">
        <f t="shared" si="1"/>
        <v>OK</v>
      </c>
      <c r="K8" s="1"/>
    </row>
    <row r="9" ht="21.75" customHeight="1">
      <c r="A9" s="1"/>
      <c r="B9" s="24" t="s">
        <v>17</v>
      </c>
      <c r="C9" s="31"/>
      <c r="D9" s="32"/>
      <c r="E9" s="32"/>
      <c r="F9" s="35"/>
      <c r="G9" s="32"/>
      <c r="H9" s="33"/>
      <c r="I9" s="34"/>
      <c r="J9" s="30" t="str">
        <f t="shared" si="1"/>
        <v>OK</v>
      </c>
      <c r="K9" s="36" t="s">
        <v>18</v>
      </c>
    </row>
    <row r="10" ht="21.75" customHeight="1">
      <c r="A10" s="1"/>
      <c r="B10" s="24" t="s">
        <v>19</v>
      </c>
      <c r="C10" s="31"/>
      <c r="D10" s="32"/>
      <c r="E10" s="32"/>
      <c r="F10" s="35"/>
      <c r="G10" s="32"/>
      <c r="H10" s="33"/>
      <c r="I10" s="34"/>
      <c r="J10" s="30" t="str">
        <f t="shared" si="1"/>
        <v>OK</v>
      </c>
      <c r="K10" s="1"/>
    </row>
    <row r="11" ht="21.75" customHeight="1">
      <c r="A11" s="1"/>
      <c r="B11" s="24" t="s">
        <v>20</v>
      </c>
      <c r="C11" s="31"/>
      <c r="D11" s="32"/>
      <c r="E11" s="32"/>
      <c r="F11" s="35"/>
      <c r="G11" s="32"/>
      <c r="H11" s="33"/>
      <c r="I11" s="34"/>
      <c r="J11" s="30" t="str">
        <f t="shared" si="1"/>
        <v>OK</v>
      </c>
      <c r="K11" s="36" t="s">
        <v>21</v>
      </c>
    </row>
    <row r="12" ht="21.75" customHeight="1">
      <c r="A12" s="1"/>
      <c r="B12" s="24" t="s">
        <v>22</v>
      </c>
      <c r="C12" s="31"/>
      <c r="D12" s="32"/>
      <c r="E12" s="32"/>
      <c r="F12" s="35"/>
      <c r="G12" s="32"/>
      <c r="H12" s="33"/>
      <c r="I12" s="34"/>
      <c r="J12" s="30" t="str">
        <f t="shared" si="1"/>
        <v>OK</v>
      </c>
      <c r="K12" s="1"/>
    </row>
    <row r="13" ht="14.25" customHeight="1">
      <c r="A13" s="1"/>
      <c r="B13" s="37" t="s">
        <v>23</v>
      </c>
      <c r="C13" s="38">
        <f t="shared" ref="C13:I13" si="2">SUM(C6:C12)</f>
        <v>0</v>
      </c>
      <c r="D13" s="39">
        <f t="shared" si="2"/>
        <v>0</v>
      </c>
      <c r="E13" s="39">
        <f t="shared" si="2"/>
        <v>0</v>
      </c>
      <c r="F13" s="40">
        <f t="shared" si="2"/>
        <v>0</v>
      </c>
      <c r="G13" s="39">
        <f t="shared" si="2"/>
        <v>0</v>
      </c>
      <c r="H13" s="39">
        <f t="shared" si="2"/>
        <v>0</v>
      </c>
      <c r="I13" s="41">
        <f t="shared" si="2"/>
        <v>0</v>
      </c>
      <c r="J13" s="30" t="str">
        <f t="shared" si="1"/>
        <v>OK</v>
      </c>
      <c r="K13" s="1"/>
    </row>
    <row r="14" ht="27.0" customHeight="1">
      <c r="A14" s="1"/>
      <c r="B14" s="42"/>
      <c r="C14" s="43"/>
      <c r="D14" s="44" t="s">
        <v>24</v>
      </c>
      <c r="E14" s="45">
        <f>C13+D13+E13</f>
        <v>0</v>
      </c>
      <c r="F14" s="46" t="s">
        <v>25</v>
      </c>
      <c r="G14" s="43"/>
      <c r="H14" s="45">
        <f>SUM(F13:I13)</f>
        <v>0</v>
      </c>
      <c r="I14" s="47"/>
      <c r="J14" s="30" t="str">
        <f>IF(E14-H14-I14=0,"OK","Error")</f>
        <v>OK</v>
      </c>
      <c r="K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I2"/>
    <mergeCell ref="B3:I3"/>
    <mergeCell ref="C4:E4"/>
    <mergeCell ref="F4:G4"/>
    <mergeCell ref="H4:I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1.43"/>
    <col customWidth="1" min="3" max="3" width="9.43"/>
    <col customWidth="1" min="4" max="7" width="8.71"/>
    <col customWidth="1" min="8" max="8" width="11.71"/>
    <col customWidth="1" min="9" max="11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4.25" customHeight="1">
      <c r="A2" s="1"/>
      <c r="B2" s="48" t="s">
        <v>0</v>
      </c>
      <c r="J2" s="1"/>
      <c r="K2" s="1"/>
    </row>
    <row r="3" ht="14.25" customHeight="1">
      <c r="A3" s="1"/>
      <c r="B3" s="48" t="s">
        <v>26</v>
      </c>
      <c r="J3" s="1"/>
      <c r="K3" s="1"/>
    </row>
    <row r="4" ht="14.25" customHeight="1">
      <c r="A4" s="1"/>
      <c r="B4" s="36"/>
      <c r="C4" s="8" t="s">
        <v>2</v>
      </c>
      <c r="D4" s="9"/>
      <c r="E4" s="9"/>
      <c r="F4" s="10" t="s">
        <v>3</v>
      </c>
      <c r="G4" s="9"/>
      <c r="H4" s="11" t="s">
        <v>4</v>
      </c>
      <c r="I4" s="49"/>
      <c r="J4" s="1"/>
      <c r="K4" s="1"/>
    </row>
    <row r="5" ht="40.5" customHeight="1">
      <c r="A5" s="1"/>
      <c r="B5" s="50" t="s">
        <v>5</v>
      </c>
      <c r="C5" s="14" t="s">
        <v>6</v>
      </c>
      <c r="D5" s="14" t="s">
        <v>7</v>
      </c>
      <c r="E5" s="14" t="s">
        <v>8</v>
      </c>
      <c r="F5" s="15" t="s">
        <v>9</v>
      </c>
      <c r="G5" s="14" t="s">
        <v>10</v>
      </c>
      <c r="H5" s="14" t="s">
        <v>11</v>
      </c>
      <c r="I5" s="14" t="s">
        <v>12</v>
      </c>
      <c r="J5" s="18" t="s">
        <v>27</v>
      </c>
      <c r="K5" s="1"/>
    </row>
    <row r="6" ht="14.25" customHeight="1">
      <c r="A6" s="1"/>
      <c r="B6" s="51" t="s">
        <v>14</v>
      </c>
      <c r="C6" s="52">
        <f>'BSE Start-up'!C13</f>
        <v>0</v>
      </c>
      <c r="D6" s="52">
        <f>'BSE Start-up'!D13</f>
        <v>0</v>
      </c>
      <c r="E6" s="52">
        <f>'BSE Start-up'!E13</f>
        <v>0</v>
      </c>
      <c r="F6" s="52">
        <f>'BSE Start-up'!F13</f>
        <v>0</v>
      </c>
      <c r="G6" s="52">
        <f>'BSE Start-up'!G13</f>
        <v>0</v>
      </c>
      <c r="H6" s="52">
        <f>'BSE Start-up'!H13</f>
        <v>0</v>
      </c>
      <c r="I6" s="52">
        <f>'BSE Start-up'!I13</f>
        <v>0</v>
      </c>
      <c r="J6" s="30" t="str">
        <f t="shared" ref="J6:J16" si="1">IF(SUM(C6:E6)=SUM(F6:I6), "OK","ERROR")</f>
        <v>OK</v>
      </c>
      <c r="K6" s="1"/>
    </row>
    <row r="7" ht="18.0" customHeight="1">
      <c r="A7" s="1"/>
      <c r="B7" s="53" t="s">
        <v>28</v>
      </c>
      <c r="C7" s="25"/>
      <c r="D7" s="26"/>
      <c r="E7" s="26"/>
      <c r="F7" s="27"/>
      <c r="G7" s="26"/>
      <c r="H7" s="28"/>
      <c r="I7" s="54"/>
      <c r="J7" s="30" t="str">
        <f t="shared" si="1"/>
        <v>OK</v>
      </c>
      <c r="K7" s="36" t="s">
        <v>21</v>
      </c>
    </row>
    <row r="8" ht="18.0" customHeight="1">
      <c r="A8" s="1"/>
      <c r="B8" s="53" t="s">
        <v>29</v>
      </c>
      <c r="C8" s="31"/>
      <c r="D8" s="32"/>
      <c r="E8" s="32"/>
      <c r="F8" s="35"/>
      <c r="G8" s="32"/>
      <c r="H8" s="33"/>
      <c r="I8" s="55"/>
      <c r="J8" s="30" t="str">
        <f t="shared" si="1"/>
        <v>OK</v>
      </c>
      <c r="K8" s="1"/>
    </row>
    <row r="9" ht="18.0" customHeight="1">
      <c r="A9" s="1"/>
      <c r="B9" s="53" t="s">
        <v>30</v>
      </c>
      <c r="C9" s="31"/>
      <c r="D9" s="32"/>
      <c r="E9" s="32"/>
      <c r="F9" s="35"/>
      <c r="G9" s="32"/>
      <c r="H9" s="33"/>
      <c r="I9" s="55"/>
      <c r="J9" s="30" t="str">
        <f t="shared" si="1"/>
        <v>OK</v>
      </c>
      <c r="K9" s="36" t="s">
        <v>18</v>
      </c>
    </row>
    <row r="10" ht="18.0" customHeight="1">
      <c r="A10" s="1"/>
      <c r="B10" s="53" t="s">
        <v>31</v>
      </c>
      <c r="C10" s="31"/>
      <c r="D10" s="32"/>
      <c r="E10" s="32"/>
      <c r="F10" s="35"/>
      <c r="G10" s="32"/>
      <c r="H10" s="33"/>
      <c r="I10" s="55"/>
      <c r="J10" s="30" t="str">
        <f t="shared" si="1"/>
        <v>OK</v>
      </c>
      <c r="K10" s="36" t="s">
        <v>32</v>
      </c>
    </row>
    <row r="11" ht="18.0" customHeight="1">
      <c r="A11" s="1"/>
      <c r="B11" s="53" t="s">
        <v>33</v>
      </c>
      <c r="C11" s="31"/>
      <c r="D11" s="32"/>
      <c r="E11" s="32"/>
      <c r="F11" s="35"/>
      <c r="G11" s="32"/>
      <c r="H11" s="33"/>
      <c r="I11" s="55"/>
      <c r="J11" s="30" t="str">
        <f t="shared" si="1"/>
        <v>OK</v>
      </c>
      <c r="K11" s="1"/>
    </row>
    <row r="12" ht="18.0" customHeight="1">
      <c r="A12" s="1"/>
      <c r="B12" s="53" t="s">
        <v>34</v>
      </c>
      <c r="C12" s="31"/>
      <c r="D12" s="32"/>
      <c r="E12" s="32"/>
      <c r="F12" s="35"/>
      <c r="G12" s="32"/>
      <c r="H12" s="33"/>
      <c r="I12" s="55"/>
      <c r="J12" s="30" t="str">
        <f t="shared" si="1"/>
        <v>OK</v>
      </c>
      <c r="K12" s="36" t="s">
        <v>21</v>
      </c>
    </row>
    <row r="13" ht="18.0" customHeight="1">
      <c r="A13" s="1"/>
      <c r="B13" s="53" t="s">
        <v>35</v>
      </c>
      <c r="C13" s="31"/>
      <c r="D13" s="32"/>
      <c r="E13" s="32"/>
      <c r="F13" s="35"/>
      <c r="G13" s="32"/>
      <c r="H13" s="33"/>
      <c r="I13" s="55"/>
      <c r="J13" s="30" t="str">
        <f t="shared" si="1"/>
        <v>OK</v>
      </c>
      <c r="K13" s="36" t="s">
        <v>36</v>
      </c>
    </row>
    <row r="14" ht="18.0" customHeight="1">
      <c r="A14" s="1"/>
      <c r="B14" s="53" t="s">
        <v>37</v>
      </c>
      <c r="C14" s="31"/>
      <c r="D14" s="32"/>
      <c r="E14" s="32"/>
      <c r="F14" s="35"/>
      <c r="G14" s="32"/>
      <c r="H14" s="33"/>
      <c r="I14" s="55"/>
      <c r="J14" s="30" t="str">
        <f t="shared" si="1"/>
        <v>OK</v>
      </c>
      <c r="K14" s="36" t="s">
        <v>38</v>
      </c>
    </row>
    <row r="15" ht="14.25" customHeight="1">
      <c r="A15" s="1"/>
      <c r="B15" s="56" t="s">
        <v>23</v>
      </c>
      <c r="C15" s="38">
        <f t="shared" ref="C15:I15" si="2">SUM(C6:C14)</f>
        <v>0</v>
      </c>
      <c r="D15" s="38">
        <f t="shared" si="2"/>
        <v>0</v>
      </c>
      <c r="E15" s="39">
        <f t="shared" si="2"/>
        <v>0</v>
      </c>
      <c r="F15" s="40">
        <f t="shared" si="2"/>
        <v>0</v>
      </c>
      <c r="G15" s="38">
        <f t="shared" si="2"/>
        <v>0</v>
      </c>
      <c r="H15" s="38">
        <f t="shared" si="2"/>
        <v>0</v>
      </c>
      <c r="I15" s="38">
        <f t="shared" si="2"/>
        <v>0</v>
      </c>
      <c r="J15" s="30" t="str">
        <f t="shared" si="1"/>
        <v>OK</v>
      </c>
      <c r="K15" s="1"/>
    </row>
    <row r="16" ht="33.75" customHeight="1">
      <c r="A16" s="1"/>
      <c r="B16" s="36"/>
      <c r="C16" s="36"/>
      <c r="D16" s="57" t="s">
        <v>24</v>
      </c>
      <c r="E16" s="58">
        <f>SUM(C15:E15)</f>
        <v>0</v>
      </c>
      <c r="F16" s="59" t="s">
        <v>25</v>
      </c>
      <c r="G16" s="36"/>
      <c r="H16" s="58">
        <f>SUM(F15:I15)</f>
        <v>0</v>
      </c>
      <c r="I16" s="36"/>
      <c r="J16" s="30" t="str">
        <f t="shared" si="1"/>
        <v>OK</v>
      </c>
      <c r="K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4.25" customHeight="1">
      <c r="A19" s="36"/>
      <c r="B19" s="36"/>
      <c r="C19" s="36"/>
      <c r="D19" s="36"/>
      <c r="E19" s="1"/>
      <c r="F19" s="1"/>
      <c r="G19" s="1"/>
      <c r="H19" s="1"/>
      <c r="I19" s="1"/>
      <c r="J19" s="1"/>
      <c r="K19" s="1"/>
    </row>
    <row r="20" ht="14.25" customHeight="1">
      <c r="A20" s="36"/>
      <c r="B20" s="60" t="s">
        <v>39</v>
      </c>
      <c r="C20" s="61" t="s">
        <v>40</v>
      </c>
      <c r="D20" s="36"/>
      <c r="E20" s="1"/>
      <c r="F20" s="1"/>
      <c r="G20" s="1"/>
      <c r="H20" s="1"/>
      <c r="I20" s="1"/>
      <c r="J20" s="1"/>
      <c r="K20" s="1"/>
    </row>
    <row r="21" ht="14.25" customHeight="1">
      <c r="A21" s="36"/>
      <c r="B21" s="7" t="s">
        <v>18</v>
      </c>
      <c r="C21" s="62"/>
      <c r="D21" s="36"/>
      <c r="E21" s="1"/>
      <c r="F21" s="1"/>
      <c r="G21" s="1"/>
      <c r="H21" s="1"/>
      <c r="I21" s="1"/>
      <c r="J21" s="1"/>
      <c r="K21" s="1"/>
    </row>
    <row r="22" ht="14.25" customHeight="1">
      <c r="A22" s="36"/>
      <c r="B22" s="42" t="s">
        <v>41</v>
      </c>
      <c r="C22" s="63"/>
      <c r="D22" s="36"/>
      <c r="E22" s="1"/>
      <c r="F22" s="1"/>
      <c r="G22" s="1"/>
      <c r="H22" s="1"/>
      <c r="I22" s="1"/>
      <c r="J22" s="1"/>
      <c r="K22" s="1"/>
    </row>
    <row r="23" ht="14.25" customHeight="1">
      <c r="A23" s="36"/>
      <c r="B23" s="7" t="s">
        <v>42</v>
      </c>
      <c r="C23" s="64">
        <f>C21+C22</f>
        <v>0</v>
      </c>
      <c r="D23" s="36"/>
      <c r="E23" s="1"/>
      <c r="F23" s="1"/>
      <c r="G23" s="1"/>
      <c r="H23" s="1"/>
      <c r="I23" s="1"/>
      <c r="J23" s="1"/>
      <c r="K23" s="1"/>
    </row>
    <row r="24" ht="14.25" customHeight="1">
      <c r="A24" s="36"/>
      <c r="B24" s="7" t="s">
        <v>43</v>
      </c>
      <c r="C24" s="62"/>
      <c r="D24" s="36"/>
      <c r="E24" s="1"/>
      <c r="F24" s="1"/>
      <c r="G24" s="1"/>
      <c r="H24" s="1"/>
      <c r="I24" s="1"/>
      <c r="J24" s="1"/>
      <c r="K24" s="1"/>
    </row>
    <row r="25" ht="14.25" customHeight="1">
      <c r="A25" s="36"/>
      <c r="B25" s="7" t="s">
        <v>44</v>
      </c>
      <c r="C25" s="62"/>
      <c r="D25" s="36"/>
      <c r="E25" s="1"/>
      <c r="F25" s="1"/>
      <c r="G25" s="1"/>
      <c r="H25" s="1"/>
      <c r="I25" s="1"/>
      <c r="J25" s="1"/>
      <c r="K25" s="1"/>
    </row>
    <row r="26" ht="14.25" customHeight="1">
      <c r="A26" s="36"/>
      <c r="B26" s="42" t="s">
        <v>45</v>
      </c>
      <c r="C26" s="63"/>
      <c r="D26" s="36"/>
      <c r="E26" s="1"/>
      <c r="F26" s="1"/>
      <c r="G26" s="1"/>
      <c r="H26" s="1"/>
      <c r="I26" s="1"/>
      <c r="J26" s="1"/>
      <c r="K26" s="1"/>
    </row>
    <row r="27" ht="14.25" customHeight="1">
      <c r="A27" s="36"/>
      <c r="B27" s="42" t="s">
        <v>46</v>
      </c>
      <c r="C27" s="65">
        <f>SUM(C24:C26)</f>
        <v>0</v>
      </c>
      <c r="D27" s="36"/>
      <c r="E27" s="66"/>
      <c r="F27" s="1"/>
      <c r="G27" s="1"/>
      <c r="H27" s="1"/>
      <c r="I27" s="1"/>
      <c r="J27" s="1"/>
      <c r="K27" s="1"/>
    </row>
    <row r="28" ht="14.25" customHeight="1">
      <c r="A28" s="36"/>
      <c r="B28" s="42" t="s">
        <v>47</v>
      </c>
      <c r="C28" s="67">
        <f>C23+C27</f>
        <v>0</v>
      </c>
      <c r="D28" s="36"/>
      <c r="E28" s="1"/>
      <c r="F28" s="1"/>
      <c r="G28" s="1"/>
      <c r="H28" s="1"/>
      <c r="I28" s="1"/>
      <c r="J28" s="1"/>
      <c r="K28" s="1"/>
    </row>
    <row r="29" ht="14.25" customHeight="1">
      <c r="A29" s="36"/>
      <c r="B29" s="68" t="s">
        <v>48</v>
      </c>
      <c r="C29" s="69"/>
      <c r="D29" s="36"/>
      <c r="E29" s="1"/>
      <c r="F29" s="1"/>
      <c r="G29" s="1"/>
      <c r="H29" s="1"/>
      <c r="I29" s="1"/>
      <c r="J29" s="1"/>
      <c r="K29" s="1"/>
    </row>
    <row r="30" ht="14.25" customHeight="1">
      <c r="A30" s="36"/>
      <c r="B30" s="42" t="s">
        <v>49</v>
      </c>
      <c r="C30" s="67">
        <f>C28+C29</f>
        <v>0</v>
      </c>
      <c r="D30" s="36" t="str">
        <f>IF(C30=250,"CORRECT!","NOT QUITE...TRY AGAIN")</f>
        <v>NOT QUITE...TRY AGAIN</v>
      </c>
      <c r="E30" s="1"/>
      <c r="F30" s="1"/>
      <c r="G30" s="1"/>
      <c r="H30" s="1"/>
      <c r="I30" s="1"/>
      <c r="J30" s="1"/>
      <c r="K30" s="1"/>
    </row>
    <row r="31" ht="14.25" customHeight="1">
      <c r="A31" s="36"/>
      <c r="B31" s="36"/>
      <c r="C31" s="36"/>
      <c r="D31" s="36"/>
      <c r="E31" s="1"/>
      <c r="F31" s="1"/>
      <c r="G31" s="1"/>
      <c r="H31" s="1"/>
      <c r="I31" s="1"/>
      <c r="J31" s="1"/>
      <c r="K31" s="1"/>
    </row>
    <row r="32" ht="14.25" customHeight="1">
      <c r="A32" s="36"/>
      <c r="B32" s="36"/>
      <c r="C32" s="36"/>
      <c r="D32" s="36"/>
      <c r="E32" s="1"/>
      <c r="F32" s="1"/>
      <c r="G32" s="1"/>
      <c r="H32" s="1"/>
      <c r="I32" s="1"/>
      <c r="J32" s="1"/>
      <c r="K32" s="1"/>
    </row>
    <row r="33" ht="14.25" customHeight="1">
      <c r="A33" s="36"/>
      <c r="B33" s="36"/>
      <c r="C33" s="36"/>
      <c r="D33" s="36"/>
      <c r="E33" s="1"/>
      <c r="F33" s="1"/>
      <c r="G33" s="1"/>
      <c r="H33" s="1"/>
      <c r="I33" s="1"/>
      <c r="J33" s="1"/>
      <c r="K33" s="1"/>
    </row>
    <row r="34" ht="14.25" customHeight="1">
      <c r="A34" s="36"/>
      <c r="B34" s="60" t="s">
        <v>50</v>
      </c>
      <c r="C34" s="70" t="s">
        <v>40</v>
      </c>
      <c r="D34" s="36"/>
      <c r="E34" s="1"/>
      <c r="F34" s="1"/>
      <c r="G34" s="1"/>
      <c r="H34" s="1"/>
      <c r="I34" s="1"/>
      <c r="J34" s="1"/>
      <c r="K34" s="1"/>
    </row>
    <row r="35" ht="14.25" customHeight="1">
      <c r="A35" s="36"/>
      <c r="B35" s="71" t="s">
        <v>2</v>
      </c>
      <c r="C35" s="62"/>
      <c r="D35" s="36"/>
      <c r="E35" s="1"/>
      <c r="F35" s="1"/>
      <c r="G35" s="1"/>
      <c r="H35" s="1"/>
      <c r="I35" s="1"/>
      <c r="J35" s="1"/>
      <c r="K35" s="1"/>
    </row>
    <row r="36" ht="14.25" customHeight="1">
      <c r="A36" s="36"/>
      <c r="B36" s="7" t="s">
        <v>6</v>
      </c>
      <c r="C36" s="62"/>
      <c r="D36" s="36"/>
      <c r="E36" s="1"/>
      <c r="F36" s="1"/>
      <c r="G36" s="1"/>
      <c r="H36" s="1"/>
      <c r="I36" s="1"/>
      <c r="J36" s="1"/>
      <c r="K36" s="1"/>
    </row>
    <row r="37" ht="14.25" customHeight="1">
      <c r="A37" s="36"/>
      <c r="B37" s="42" t="s">
        <v>7</v>
      </c>
      <c r="C37" s="63"/>
      <c r="D37" s="36"/>
      <c r="E37" s="1"/>
      <c r="F37" s="1"/>
      <c r="G37" s="1"/>
      <c r="H37" s="1"/>
      <c r="I37" s="1"/>
      <c r="J37" s="1"/>
      <c r="K37" s="1"/>
    </row>
    <row r="38" ht="14.25" customHeight="1">
      <c r="A38" s="36"/>
      <c r="B38" s="7" t="s">
        <v>51</v>
      </c>
      <c r="C38" s="64">
        <f>C36+C37</f>
        <v>0</v>
      </c>
      <c r="D38" s="36"/>
      <c r="E38" s="1"/>
      <c r="F38" s="1"/>
      <c r="G38" s="1"/>
      <c r="H38" s="1"/>
      <c r="I38" s="1"/>
      <c r="J38" s="1"/>
      <c r="K38" s="1"/>
    </row>
    <row r="39" ht="14.25" customHeight="1">
      <c r="A39" s="36"/>
      <c r="B39" s="42" t="s">
        <v>8</v>
      </c>
      <c r="C39" s="63"/>
      <c r="D39" s="36"/>
      <c r="E39" s="1"/>
      <c r="F39" s="1"/>
      <c r="G39" s="1"/>
      <c r="H39" s="1"/>
      <c r="I39" s="1"/>
      <c r="J39" s="1"/>
      <c r="K39" s="1"/>
    </row>
    <row r="40" ht="14.25" customHeight="1">
      <c r="A40" s="36"/>
      <c r="B40" s="72" t="s">
        <v>52</v>
      </c>
      <c r="C40" s="73">
        <f>C38+C39</f>
        <v>0</v>
      </c>
      <c r="D40" s="36"/>
      <c r="E40" s="1"/>
      <c r="F40" s="1"/>
      <c r="G40" s="1"/>
      <c r="H40" s="1"/>
      <c r="I40" s="1"/>
      <c r="J40" s="1"/>
      <c r="K40" s="1"/>
    </row>
    <row r="41" ht="14.25" customHeight="1">
      <c r="A41" s="36"/>
      <c r="B41" s="71" t="s">
        <v>3</v>
      </c>
      <c r="C41" s="62"/>
      <c r="D41" s="36"/>
      <c r="E41" s="1"/>
      <c r="F41" s="1"/>
      <c r="G41" s="1"/>
      <c r="H41" s="1"/>
      <c r="I41" s="1"/>
      <c r="J41" s="1"/>
      <c r="K41" s="1"/>
    </row>
    <row r="42" ht="14.25" customHeight="1">
      <c r="A42" s="36"/>
      <c r="B42" s="7" t="s">
        <v>53</v>
      </c>
      <c r="C42" s="62"/>
      <c r="D42" s="36"/>
      <c r="E42" s="1"/>
      <c r="F42" s="1"/>
      <c r="G42" s="1"/>
      <c r="H42" s="1"/>
      <c r="I42" s="1"/>
      <c r="J42" s="1"/>
      <c r="K42" s="1"/>
    </row>
    <row r="43" ht="14.25" customHeight="1">
      <c r="A43" s="36"/>
      <c r="B43" s="42" t="s">
        <v>10</v>
      </c>
      <c r="C43" s="63"/>
      <c r="D43" s="36"/>
      <c r="E43" s="1"/>
      <c r="F43" s="1"/>
      <c r="G43" s="1"/>
      <c r="H43" s="1"/>
      <c r="I43" s="1"/>
      <c r="J43" s="1"/>
      <c r="K43" s="1"/>
    </row>
    <row r="44" ht="14.25" customHeight="1">
      <c r="A44" s="36"/>
      <c r="B44" s="7" t="s">
        <v>54</v>
      </c>
      <c r="C44" s="64">
        <f>C42+C43</f>
        <v>0</v>
      </c>
      <c r="D44" s="36"/>
      <c r="E44" s="1"/>
      <c r="F44" s="1"/>
      <c r="G44" s="1"/>
      <c r="H44" s="1"/>
      <c r="I44" s="1"/>
      <c r="J44" s="1"/>
      <c r="K44" s="1"/>
    </row>
    <row r="45" ht="14.25" customHeight="1">
      <c r="A45" s="36"/>
      <c r="B45" s="71" t="s">
        <v>55</v>
      </c>
      <c r="C45" s="62"/>
      <c r="D45" s="36"/>
      <c r="E45" s="1"/>
      <c r="F45" s="1"/>
      <c r="G45" s="1"/>
      <c r="H45" s="1"/>
      <c r="I45" s="1"/>
      <c r="J45" s="1"/>
      <c r="K45" s="1"/>
    </row>
    <row r="46" ht="14.25" customHeight="1">
      <c r="A46" s="36"/>
      <c r="B46" s="7" t="s">
        <v>11</v>
      </c>
      <c r="C46" s="62"/>
      <c r="D46" s="36"/>
      <c r="E46" s="1"/>
      <c r="F46" s="1"/>
      <c r="G46" s="1"/>
      <c r="H46" s="1"/>
      <c r="I46" s="1"/>
      <c r="J46" s="1"/>
      <c r="K46" s="1"/>
    </row>
    <row r="47" ht="14.25" customHeight="1">
      <c r="A47" s="36"/>
      <c r="B47" s="42" t="s">
        <v>12</v>
      </c>
      <c r="C47" s="63"/>
      <c r="D47" s="36"/>
      <c r="E47" s="1"/>
      <c r="F47" s="1"/>
      <c r="G47" s="1"/>
      <c r="H47" s="1"/>
      <c r="I47" s="1"/>
      <c r="J47" s="1"/>
      <c r="K47" s="1"/>
    </row>
    <row r="48" ht="14.25" customHeight="1">
      <c r="A48" s="36"/>
      <c r="B48" s="42" t="s">
        <v>56</v>
      </c>
      <c r="C48" s="67">
        <f>C46+C47</f>
        <v>0</v>
      </c>
      <c r="D48" s="36"/>
      <c r="E48" s="1"/>
      <c r="F48" s="1"/>
      <c r="G48" s="1"/>
      <c r="H48" s="1"/>
      <c r="I48" s="1"/>
      <c r="J48" s="1"/>
      <c r="K48" s="1"/>
    </row>
    <row r="49" ht="14.25" customHeight="1">
      <c r="A49" s="36"/>
      <c r="B49" s="42" t="s">
        <v>57</v>
      </c>
      <c r="C49" s="67">
        <f>C44+C48</f>
        <v>0</v>
      </c>
      <c r="D49" s="36" t="str">
        <f>IF(C49-C40=0,"ok","error")</f>
        <v>ok</v>
      </c>
      <c r="E49" s="1"/>
      <c r="F49" s="1"/>
      <c r="G49" s="1"/>
      <c r="H49" s="1"/>
      <c r="I49" s="1"/>
      <c r="J49" s="1"/>
      <c r="K49" s="1"/>
    </row>
    <row r="50" ht="14.25" customHeight="1">
      <c r="A50" s="36"/>
      <c r="B50" s="36"/>
      <c r="C50" s="36"/>
      <c r="D50" s="36"/>
      <c r="E50" s="1"/>
      <c r="F50" s="1"/>
      <c r="G50" s="1"/>
      <c r="H50" s="1"/>
      <c r="I50" s="1"/>
      <c r="J50" s="1"/>
      <c r="K50" s="1"/>
    </row>
    <row r="51" ht="14.25" customHeight="1">
      <c r="A51" s="36"/>
      <c r="B51" s="60" t="s">
        <v>58</v>
      </c>
      <c r="C51" s="70" t="s">
        <v>40</v>
      </c>
      <c r="D51" s="36"/>
      <c r="E51" s="1"/>
      <c r="F51" s="1"/>
      <c r="G51" s="1"/>
      <c r="H51" s="1"/>
      <c r="I51" s="1"/>
      <c r="J51" s="1"/>
      <c r="K51" s="1"/>
    </row>
    <row r="52" ht="14.25" customHeight="1">
      <c r="A52" s="36"/>
      <c r="B52" s="71" t="s">
        <v>59</v>
      </c>
      <c r="C52" s="62"/>
      <c r="D52" s="36"/>
      <c r="E52" s="1"/>
      <c r="F52" s="1"/>
      <c r="G52" s="1"/>
      <c r="H52" s="1"/>
      <c r="I52" s="1"/>
      <c r="J52" s="1"/>
      <c r="K52" s="1"/>
    </row>
    <row r="53" ht="14.25" customHeight="1">
      <c r="A53" s="36"/>
      <c r="B53" s="7" t="s">
        <v>60</v>
      </c>
      <c r="C53" s="62" t="str">
        <f>C10</f>
        <v/>
      </c>
      <c r="D53" s="36"/>
      <c r="E53" s="1"/>
      <c r="F53" s="1"/>
      <c r="G53" s="1"/>
      <c r="H53" s="1"/>
      <c r="I53" s="1"/>
      <c r="J53" s="1"/>
      <c r="K53" s="1"/>
    </row>
    <row r="54" ht="14.25" customHeight="1">
      <c r="A54" s="36"/>
      <c r="B54" s="7" t="s">
        <v>61</v>
      </c>
      <c r="C54" s="62"/>
      <c r="D54" s="36"/>
      <c r="E54" s="1"/>
      <c r="F54" s="1"/>
      <c r="G54" s="1"/>
      <c r="H54" s="1"/>
      <c r="I54" s="1"/>
      <c r="J54" s="1"/>
      <c r="K54" s="1"/>
    </row>
    <row r="55" ht="14.25" customHeight="1">
      <c r="A55" s="36"/>
      <c r="B55" s="7" t="s">
        <v>62</v>
      </c>
      <c r="C55" s="62"/>
      <c r="D55" s="36"/>
      <c r="E55" s="1"/>
      <c r="F55" s="1"/>
      <c r="G55" s="1"/>
      <c r="H55" s="1"/>
      <c r="I55" s="1"/>
      <c r="J55" s="1"/>
      <c r="K55" s="1"/>
    </row>
    <row r="56" ht="14.25" customHeight="1">
      <c r="A56" s="36"/>
      <c r="B56" s="7" t="s">
        <v>63</v>
      </c>
      <c r="C56" s="62"/>
      <c r="D56" s="36"/>
      <c r="E56" s="1"/>
      <c r="F56" s="1"/>
      <c r="G56" s="1"/>
      <c r="H56" s="1"/>
      <c r="I56" s="1"/>
      <c r="J56" s="1"/>
      <c r="K56" s="1"/>
    </row>
    <row r="57" ht="14.25" customHeight="1">
      <c r="A57" s="36"/>
      <c r="B57" s="7" t="s">
        <v>64</v>
      </c>
      <c r="C57" s="62"/>
      <c r="D57" s="36"/>
      <c r="E57" s="1"/>
      <c r="F57" s="1"/>
      <c r="G57" s="1"/>
      <c r="H57" s="1"/>
      <c r="I57" s="1"/>
      <c r="J57" s="1"/>
      <c r="K57" s="1"/>
    </row>
    <row r="58" ht="14.25" customHeight="1">
      <c r="A58" s="36"/>
      <c r="B58" s="7" t="s">
        <v>65</v>
      </c>
      <c r="C58" s="62"/>
      <c r="D58" s="36"/>
      <c r="E58" s="1"/>
      <c r="F58" s="1"/>
      <c r="G58" s="1"/>
      <c r="H58" s="1"/>
      <c r="I58" s="1"/>
      <c r="J58" s="1"/>
      <c r="K58" s="1"/>
    </row>
    <row r="59" ht="14.25" customHeight="1">
      <c r="A59" s="36"/>
      <c r="B59" s="7" t="s">
        <v>66</v>
      </c>
      <c r="C59" s="62"/>
      <c r="D59" s="36"/>
      <c r="E59" s="1"/>
      <c r="F59" s="1"/>
      <c r="G59" s="1"/>
      <c r="H59" s="1"/>
      <c r="I59" s="1"/>
      <c r="J59" s="1"/>
      <c r="K59" s="1"/>
    </row>
    <row r="60" ht="14.25" customHeight="1">
      <c r="A60" s="36"/>
      <c r="B60" s="60" t="s">
        <v>67</v>
      </c>
      <c r="C60" s="74">
        <f>SUM(C53:C59)</f>
        <v>0</v>
      </c>
      <c r="D60" s="36"/>
      <c r="E60" s="1"/>
      <c r="F60" s="1"/>
      <c r="G60" s="1"/>
      <c r="H60" s="1"/>
      <c r="I60" s="1"/>
      <c r="J60" s="1"/>
      <c r="K60" s="1"/>
    </row>
    <row r="61" ht="14.25" customHeight="1">
      <c r="A61" s="36"/>
      <c r="B61" s="71" t="s">
        <v>68</v>
      </c>
      <c r="C61" s="62" t="str">
        <f>F33</f>
        <v/>
      </c>
      <c r="D61" s="36"/>
      <c r="E61" s="1"/>
      <c r="F61" s="1"/>
      <c r="G61" s="1"/>
      <c r="H61" s="1"/>
      <c r="I61" s="1"/>
      <c r="J61" s="1"/>
      <c r="K61" s="1"/>
    </row>
    <row r="62" ht="14.25" customHeight="1">
      <c r="A62" s="36"/>
      <c r="B62" s="71" t="s">
        <v>69</v>
      </c>
      <c r="C62" s="62" t="str">
        <f>G33</f>
        <v/>
      </c>
      <c r="D62" s="36"/>
      <c r="E62" s="1"/>
      <c r="F62" s="1"/>
      <c r="G62" s="1"/>
      <c r="H62" s="1"/>
      <c r="I62" s="1"/>
      <c r="J62" s="1"/>
      <c r="K62" s="1"/>
    </row>
    <row r="63" ht="14.25" customHeight="1">
      <c r="A63" s="36"/>
      <c r="B63" s="60" t="s">
        <v>70</v>
      </c>
      <c r="C63" s="74">
        <f>SUM(C60:C62)</f>
        <v>0</v>
      </c>
      <c r="D63" s="36"/>
      <c r="E63" s="1"/>
      <c r="F63" s="1"/>
      <c r="G63" s="1"/>
      <c r="H63" s="1"/>
      <c r="I63" s="1"/>
      <c r="J63" s="1"/>
      <c r="K63" s="1"/>
    </row>
    <row r="64" ht="14.25" customHeight="1">
      <c r="A64" s="36"/>
      <c r="B64" s="71" t="s">
        <v>71</v>
      </c>
      <c r="C64" s="62"/>
      <c r="D64" s="36"/>
      <c r="E64" s="1"/>
      <c r="F64" s="1"/>
      <c r="G64" s="1"/>
      <c r="H64" s="1"/>
      <c r="I64" s="1"/>
      <c r="J64" s="1"/>
      <c r="K64" s="1"/>
    </row>
    <row r="65" ht="14.25" customHeight="1">
      <c r="A65" s="36"/>
      <c r="B65" s="75" t="s">
        <v>72</v>
      </c>
      <c r="C65" s="63"/>
      <c r="D65" s="36"/>
      <c r="E65" s="1"/>
      <c r="F65" s="1"/>
      <c r="G65" s="1"/>
      <c r="H65" s="1"/>
      <c r="I65" s="1"/>
      <c r="J65" s="1"/>
      <c r="K65" s="1"/>
    </row>
    <row r="66" ht="14.25" customHeight="1">
      <c r="A66" s="36"/>
      <c r="B66" s="36"/>
      <c r="C66" s="36"/>
      <c r="D66" s="36"/>
      <c r="E66" s="1"/>
      <c r="F66" s="1"/>
      <c r="G66" s="1"/>
      <c r="H66" s="1"/>
      <c r="I66" s="1"/>
      <c r="J66" s="1"/>
      <c r="K66" s="1"/>
    </row>
    <row r="67" ht="14.25" customHeight="1">
      <c r="A67" s="36"/>
      <c r="B67" s="36"/>
      <c r="C67" s="36"/>
      <c r="D67" s="36"/>
      <c r="E67" s="1"/>
      <c r="F67" s="1"/>
      <c r="G67" s="1"/>
      <c r="H67" s="1"/>
      <c r="I67" s="1"/>
      <c r="J67" s="1"/>
      <c r="K67" s="1"/>
    </row>
    <row r="68" ht="14.25" customHeight="1">
      <c r="A68" s="36"/>
      <c r="B68" s="36"/>
      <c r="C68" s="36"/>
      <c r="D68" s="36"/>
      <c r="E68" s="1"/>
      <c r="F68" s="1"/>
      <c r="G68" s="1"/>
      <c r="H68" s="1"/>
      <c r="I68" s="1"/>
      <c r="J68" s="1"/>
      <c r="K68" s="1"/>
    </row>
    <row r="69" ht="14.25" customHeight="1">
      <c r="A69" s="36"/>
      <c r="B69" s="36"/>
      <c r="C69" s="36"/>
      <c r="D69" s="36"/>
      <c r="E69" s="1"/>
      <c r="F69" s="1"/>
      <c r="G69" s="1"/>
      <c r="H69" s="1"/>
      <c r="I69" s="1"/>
      <c r="J69" s="1"/>
      <c r="K69" s="1"/>
    </row>
    <row r="70" ht="14.25" customHeight="1">
      <c r="A70" s="36"/>
      <c r="B70" s="36"/>
      <c r="C70" s="36"/>
      <c r="D70" s="36"/>
      <c r="E70" s="1"/>
      <c r="F70" s="1"/>
      <c r="G70" s="1"/>
      <c r="H70" s="1"/>
      <c r="I70" s="1"/>
      <c r="J70" s="1"/>
      <c r="K70" s="1"/>
    </row>
    <row r="71" ht="14.25" customHeight="1">
      <c r="A71" s="76"/>
      <c r="B71" s="76"/>
      <c r="C71" s="76"/>
      <c r="D71" s="76"/>
    </row>
    <row r="72" ht="14.25" customHeight="1">
      <c r="A72" s="76"/>
      <c r="B72" s="76"/>
      <c r="C72" s="76"/>
      <c r="D72" s="76"/>
    </row>
    <row r="73" ht="14.25" customHeight="1">
      <c r="A73" s="76"/>
      <c r="B73" s="76"/>
      <c r="C73" s="76"/>
      <c r="D73" s="76"/>
    </row>
    <row r="74" ht="14.25" customHeight="1">
      <c r="A74" s="76"/>
      <c r="B74" s="76"/>
      <c r="C74" s="76"/>
      <c r="D74" s="76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B2:I2"/>
    <mergeCell ref="B3:I3"/>
    <mergeCell ref="C4:E4"/>
    <mergeCell ref="F4:G4"/>
    <mergeCell ref="H4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2026-03-12T14:51:02Z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0x0101007D01A2A2F729DA4896C8BD9F8F47766A</vt:lpwstr>
  </property>
  <property fmtid="{D5CDD505-2E9C-101B-9397-08002B2CF9AE}" pid="3" name="MediaServiceImageTags">
    <vt:lpwstr/>
  </property>
</Properties>
</file>